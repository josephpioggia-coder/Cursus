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0b6a5b8edd2a2a5/Bureau/"/>
    </mc:Choice>
  </mc:AlternateContent>
  <xr:revisionPtr revIDLastSave="0" documentId="8_{7B0B9670-820B-440D-8E9E-BBDB623196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lculateur" sheetId="1" r:id="rId1"/>
    <sheet name="Modes &amp; hypothèses" sheetId="2" r:id="rId2"/>
    <sheet name="Scénarios" sheetId="3" r:id="rId3"/>
    <sheet name="Grille dimens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G11" i="3" s="1"/>
  <c r="H11" i="3" s="1"/>
  <c r="I11" i="3" s="1"/>
  <c r="F5" i="3"/>
  <c r="G5" i="3" s="1"/>
  <c r="H5" i="3" s="1"/>
  <c r="I5" i="3" s="1"/>
  <c r="F10" i="3"/>
  <c r="G10" i="3" s="1"/>
  <c r="H10" i="3" s="1"/>
  <c r="I10" i="3" s="1"/>
  <c r="F9" i="3"/>
  <c r="G9" i="3" s="1"/>
  <c r="H9" i="3" s="1"/>
  <c r="I9" i="3" s="1"/>
  <c r="F8" i="3"/>
  <c r="G8" i="3" s="1"/>
  <c r="H8" i="3" s="1"/>
  <c r="I8" i="3" s="1"/>
  <c r="F7" i="3"/>
  <c r="G7" i="3" s="1"/>
  <c r="H7" i="3" s="1"/>
  <c r="I7" i="3" s="1"/>
  <c r="F6" i="3"/>
  <c r="G6" i="3" s="1"/>
  <c r="H6" i="3" s="1"/>
  <c r="I6" i="3" s="1"/>
  <c r="F4" i="3"/>
  <c r="G4" i="3" s="1"/>
  <c r="H4" i="3" s="1"/>
  <c r="I4" i="3" s="1"/>
  <c r="F3" i="3"/>
  <c r="G3" i="3" s="1"/>
  <c r="H3" i="3" s="1"/>
  <c r="I3" i="3" s="1"/>
  <c r="F2" i="3"/>
  <c r="G2" i="3" s="1"/>
  <c r="H2" i="3" s="1"/>
  <c r="I2" i="3" s="1"/>
  <c r="B15" i="1"/>
  <c r="B14" i="1"/>
  <c r="E13" i="1"/>
  <c r="E12" i="1"/>
  <c r="E14" i="1" l="1"/>
  <c r="E15" i="1" s="1"/>
  <c r="E16" i="1" s="1"/>
  <c r="J4" i="3"/>
  <c r="K4" i="3" s="1"/>
  <c r="J6" i="3"/>
  <c r="K6" i="3" s="1"/>
  <c r="J8" i="3"/>
  <c r="K8" i="3" s="1"/>
  <c r="J9" i="3"/>
  <c r="K9" i="3" s="1"/>
  <c r="J10" i="3"/>
  <c r="K10" i="3" s="1"/>
  <c r="J7" i="3"/>
  <c r="K7" i="3" s="1"/>
  <c r="J2" i="3"/>
  <c r="K2" i="3" s="1"/>
  <c r="J5" i="3"/>
  <c r="K5" i="3" s="1"/>
  <c r="J3" i="3"/>
  <c r="K3" i="3" s="1"/>
  <c r="J11" i="3"/>
  <c r="K11" i="3" s="1"/>
  <c r="E17" i="1" l="1"/>
  <c r="E18" i="1" s="1"/>
  <c r="E19" i="1" s="1"/>
  <c r="E20" i="1" s="1"/>
  <c r="H6" i="1"/>
  <c r="H7" i="1" s="1"/>
  <c r="H5" i="1" s="1"/>
  <c r="I6" i="1"/>
  <c r="I7" i="1" s="1"/>
  <c r="I5" i="1" s="1"/>
  <c r="G6" i="1"/>
  <c r="G7" i="1" s="1"/>
  <c r="G5" i="1" s="1"/>
</calcChain>
</file>

<file path=xl/sharedStrings.xml><?xml version="1.0" encoding="utf-8"?>
<sst xmlns="http://schemas.openxmlformats.org/spreadsheetml/2006/main" count="135" uniqueCount="98">
  <si>
    <t>CURSAUDIT — CALCULATEUR DE TARIFICATION</t>
  </si>
  <si>
    <t>Variables modifiables en jaune · Résultats calculés en vert</t>
  </si>
  <si>
    <t>PARAMÈTRES DU MANUSCRIT</t>
  </si>
  <si>
    <t>PARAMÈTRES COMMERCIAUX</t>
  </si>
  <si>
    <t>Nombre de pages</t>
  </si>
  <si>
    <t>pages</t>
  </si>
  <si>
    <t>Multiplicateur de prix</t>
  </si>
  <si>
    <t>× coût IA</t>
  </si>
  <si>
    <t>Unités analysées par page</t>
  </si>
  <si>
    <t>moyenne observée</t>
  </si>
  <si>
    <t>Marge de sécurité coût IA</t>
  </si>
  <si>
    <t>%</t>
  </si>
  <si>
    <t>Nombre de dimensions analysées</t>
  </si>
  <si>
    <t>de 6 à 30+</t>
  </si>
  <si>
    <t>TVA</t>
  </si>
  <si>
    <t>Mode IA</t>
  </si>
  <si>
    <t>1 IA</t>
  </si>
  <si>
    <t>liste déroulante</t>
  </si>
  <si>
    <t>Remise éventuelle</t>
  </si>
  <si>
    <t>Type de rapport</t>
  </si>
  <si>
    <t>Rapport complet</t>
  </si>
  <si>
    <t>HYPOTHÈSES DE COÛT — MODIFIABLES</t>
  </si>
  <si>
    <t>RÉSULTATS</t>
  </si>
  <si>
    <t>Coût de base par unité pour 8 dimensions</t>
  </si>
  <si>
    <t>€ / unité</t>
  </si>
  <si>
    <t>Unités totales estimées</t>
  </si>
  <si>
    <t>Dimensions de référence</t>
  </si>
  <si>
    <t>dimensions</t>
  </si>
  <si>
    <t>Facteur dimensions</t>
  </si>
  <si>
    <t>Facteur mode IA</t>
  </si>
  <si>
    <t>Coût brut analyse IA</t>
  </si>
  <si>
    <t>€</t>
  </si>
  <si>
    <t>Coût rapport</t>
  </si>
  <si>
    <t>Coût IA + rapport</t>
  </si>
  <si>
    <t>Coût avec sécurité</t>
  </si>
  <si>
    <t>Prix public HT</t>
  </si>
  <si>
    <t>Prix public TTC</t>
  </si>
  <si>
    <t>Lecture de la formule</t>
  </si>
  <si>
    <t>Coût analyse = pages × unités/page × coût/unité × (dimensions / dimensions de référence) × facteur du mode IA.</t>
  </si>
  <si>
    <t>Prix HT = (coût analyse + coût rapport) × sécurité × multiplicateur × (1 - remise).</t>
  </si>
  <si>
    <t>Facteur proposé</t>
  </si>
  <si>
    <t>Description</t>
  </si>
  <si>
    <t>Quand l’utiliser</t>
  </si>
  <si>
    <t>Une IA analyse toutes les lignes.</t>
  </si>
  <si>
    <t>Entrée de gamme / scan exhaustif.</t>
  </si>
  <si>
    <t>2 IA</t>
  </si>
  <si>
    <t>Deuxième IA relit et contrôle la première.</t>
  </si>
  <si>
    <t>Réduction des angles morts.</t>
  </si>
  <si>
    <t>2 IA + confrontation ciblée</t>
  </si>
  <si>
    <t>La seconde IA conteste seulement les points sensibles ou désaccords.</t>
  </si>
  <si>
    <t>Bon compromis coût / profondeur.</t>
  </si>
  <si>
    <t>2 IA + arbitrage dialogique</t>
  </si>
  <si>
    <t>Deux IA argumentent les désaccords puis consolidation/arbitrage.</t>
  </si>
  <si>
    <t>Niveau expert maximal.</t>
  </si>
  <si>
    <t>Coût IA indicatif</t>
  </si>
  <si>
    <t>Hypothèse modifiable dans Calculateur</t>
  </si>
  <si>
    <t>Aucun</t>
  </si>
  <si>
    <t>Excel / résultats structurés uniquement.</t>
  </si>
  <si>
    <t>0 €</t>
  </si>
  <si>
    <t>Synthèse courte</t>
  </si>
  <si>
    <t>Rapport synthétique d’environ 8–15 pages.</t>
  </si>
  <si>
    <t>2 €</t>
  </si>
  <si>
    <t>Rapport rédigé, motifs, recommandations, traçabilité.</t>
  </si>
  <si>
    <t>6 €</t>
  </si>
  <si>
    <t>Hypothèse de calibration</t>
  </si>
  <si>
    <t>Valeur</t>
  </si>
  <si>
    <t>Commentaire</t>
  </si>
  <si>
    <t>Coût/unité pour 8 dimensions</t>
  </si>
  <si>
    <t>Calibré pour donner ~16,6 € sur 150 pages, 8 dimensions, 1 IA, 8,5 unités/page.</t>
  </si>
  <si>
    <t>Unités/page</t>
  </si>
  <si>
    <t>Moyenne issue de l’expérimentation actuelle ; à ajuster selon densité du manuscrit.</t>
  </si>
  <si>
    <t>Le coût varie proportionnellement au nombre de dimensions analysées.</t>
  </si>
  <si>
    <t>Pages</t>
  </si>
  <si>
    <t>Dimensions</t>
  </si>
  <si>
    <t>Rapport</t>
  </si>
  <si>
    <t>Multiplicateur</t>
  </si>
  <si>
    <t>Coût brut analyse</t>
  </si>
  <si>
    <t>Coût + rapport</t>
  </si>
  <si>
    <t>Coût sécurisé</t>
  </si>
  <si>
    <t>Prix HT</t>
  </si>
  <si>
    <t>Prix TTC</t>
  </si>
  <si>
    <t>Niveau</t>
  </si>
  <si>
    <t>Nombre de dimensions</t>
  </si>
  <si>
    <t>Exemples de dimensions couvertes</t>
  </si>
  <si>
    <t>Positionnement</t>
  </si>
  <si>
    <t>Essentiel</t>
  </si>
  <si>
    <t>Type d’énoncé; statut épistémique; besoin de preuve; biais/influence; référence; alerte; motif; diagnostic bref.</t>
  </si>
  <si>
    <t>Lecture exhaustive, coût minimal.</t>
  </si>
  <si>
    <t>Approfondi</t>
  </si>
  <si>
    <t>Ajoute fonctions narrative/pédagogique/argumentative, robustesse, validation, procédés, recommandation.</t>
  </si>
  <si>
    <t>Analyse plus éditoriale.</t>
  </si>
  <si>
    <t>Expert</t>
  </si>
  <si>
    <t>Grille complète : indépendance de validation, audit aveugle, relation institutionnelle, résonances, diagnostic détaillé, etc.</t>
  </si>
  <si>
    <t>Profondeur maximale.</t>
  </si>
  <si>
    <t>Libre</t>
  </si>
  <si>
    <t>L’utilisateur choisit directement le nombre de dimensions dans le Calculateur.</t>
  </si>
  <si>
    <t>Permet une tarification continue.</t>
  </si>
  <si>
    <t>Marge bénéficiaire brute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</si>
</sst>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00\ \€"/>
    <numFmt numFmtId="165" formatCode="0.00\ \€"/>
    <numFmt numFmtId="166" formatCode="#,##0.00\ \€"/>
    <numFmt numFmtId="167" formatCode="0.0\x"/>
    <numFmt numFmtId="168" formatCode="0.0"/>
    <numFmt numFmtId="169" formatCode="0.00\x"/>
  </numFmts>
  <fonts count="8">
    <font>
      <sz val="11"/>
      <name val="Carlito"/>
    </font>
    <font>
      <b/>
      <sz val="14"/>
      <color rgb="FFFFFFFF"/>
      <name val="Carlito"/>
    </font>
    <font>
      <i/>
      <sz val="11"/>
      <color rgb="FF666666"/>
      <name val="Carlito"/>
    </font>
    <font>
      <b/>
      <sz val="11"/>
      <color rgb="FF17365D"/>
      <name val="Carlito"/>
    </font>
    <font>
      <b/>
      <sz val="11"/>
      <color rgb="FF1F4E78"/>
      <name val="Carlito"/>
    </font>
    <font>
      <b/>
      <sz val="11"/>
      <name val="Carlito"/>
    </font>
    <font>
      <b/>
      <sz val="11"/>
      <color rgb="FF215E2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D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167" fontId="5" fillId="5" borderId="0" xfId="0" applyNumberFormat="1" applyFont="1" applyFill="1" applyAlignment="1">
      <alignment horizontal="center" vertical="top" wrapText="1"/>
    </xf>
    <xf numFmtId="168" fontId="5" fillId="5" borderId="0" xfId="0" applyNumberFormat="1" applyFont="1" applyFill="1" applyAlignment="1">
      <alignment horizontal="center" vertical="top" wrapText="1"/>
    </xf>
    <xf numFmtId="164" fontId="5" fillId="5" borderId="0" xfId="0" applyNumberFormat="1" applyFont="1" applyFill="1" applyAlignment="1">
      <alignment horizontal="center" vertical="top" wrapText="1"/>
    </xf>
    <xf numFmtId="3" fontId="6" fillId="6" borderId="0" xfId="0" applyNumberFormat="1" applyFont="1" applyFill="1" applyAlignment="1">
      <alignment vertical="top" wrapText="1"/>
    </xf>
    <xf numFmtId="2" fontId="5" fillId="5" borderId="0" xfId="0" applyNumberFormat="1" applyFont="1" applyFill="1" applyAlignment="1">
      <alignment horizontal="center" vertical="top" wrapText="1"/>
    </xf>
    <xf numFmtId="2" fontId="0" fillId="0" borderId="0" xfId="0" applyNumberFormat="1" applyAlignment="1">
      <alignment vertical="top" wrapText="1"/>
    </xf>
    <xf numFmtId="2" fontId="6" fillId="6" borderId="0" xfId="0" applyNumberFormat="1" applyFont="1" applyFill="1" applyAlignment="1">
      <alignment vertical="top" wrapText="1"/>
    </xf>
    <xf numFmtId="165" fontId="6" fillId="6" borderId="0" xfId="0" applyNumberFormat="1" applyFont="1" applyFill="1" applyAlignment="1">
      <alignment vertical="top" wrapText="1"/>
    </xf>
    <xf numFmtId="166" fontId="6" fillId="6" borderId="0" xfId="0" applyNumberFormat="1" applyFont="1" applyFill="1" applyAlignment="1">
      <alignment vertical="top" wrapText="1"/>
    </xf>
    <xf numFmtId="169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7" borderId="0" xfId="0" applyFill="1" applyAlignment="1">
      <alignment vertical="top"/>
    </xf>
    <xf numFmtId="167" fontId="0" fillId="7" borderId="0" xfId="0" applyNumberFormat="1" applyFill="1" applyAlignment="1">
      <alignment vertical="top"/>
    </xf>
    <xf numFmtId="166" fontId="0" fillId="0" borderId="0" xfId="0" applyNumberFormat="1" applyAlignment="1">
      <alignment vertical="top"/>
    </xf>
    <xf numFmtId="44" fontId="0" fillId="0" borderId="0" xfId="1" applyFont="1" applyAlignment="1">
      <alignment vertical="top"/>
    </xf>
    <xf numFmtId="0" fontId="4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DD-4147-88AA-BB55754BAC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D-4147-88AA-BB55754BAC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DD-4147-88AA-BB55754BAC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Calculateur!$G$4:$I$4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Calculateur!$G$5:$I$5</c:f>
              <c:numCache>
                <c:formatCode>_("€"* #,##0.00_);_("€"* \(#,##0.00\);_("€"* "-"??_);_(@_)</c:formatCode>
                <c:ptCount val="3"/>
                <c:pt idx="0">
                  <c:v>117.693515625</c:v>
                </c:pt>
                <c:pt idx="1">
                  <c:v>235.38703124999998</c:v>
                </c:pt>
                <c:pt idx="2">
                  <c:v>353.08054687499998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E-41A3-81A7-38F9AFB9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Prix HT selon les scénarios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DE4-42A1-97DB-1A45A7041E57}"/>
            </c:ext>
          </c:extLst>
        </c:ser>
        <c:ser>
          <c:idx val="1"/>
          <c:order val="1"/>
          <c:tx>
            <c:v>Prix HT</c:v>
          </c:tx>
          <c:invertIfNegative val="1"/>
          <c:cat>
            <c:numRef>
              <c:f>Scénarios!$A$2:$A$11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250</c:v>
                </c:pt>
              </c:numCache>
            </c:numRef>
          </c:cat>
          <c:val>
            <c:numRef>
              <c:f>Scénarios!$I$2:$I$11</c:f>
              <c:numCache>
                <c:formatCode>#,##0.00\ \€</c:formatCode>
                <c:ptCount val="10"/>
                <c:pt idx="0">
                  <c:v>25.961249999999996</c:v>
                </c:pt>
                <c:pt idx="1">
                  <c:v>45.022499999999994</c:v>
                </c:pt>
                <c:pt idx="2">
                  <c:v>64.083749999999995</c:v>
                </c:pt>
                <c:pt idx="3">
                  <c:v>102.20624999999998</c:v>
                </c:pt>
                <c:pt idx="4">
                  <c:v>170.55937499999999</c:v>
                </c:pt>
                <c:pt idx="5">
                  <c:v>313.51874999999995</c:v>
                </c:pt>
                <c:pt idx="6">
                  <c:v>470.77406250000001</c:v>
                </c:pt>
                <c:pt idx="7">
                  <c:v>570.84562499999993</c:v>
                </c:pt>
                <c:pt idx="8">
                  <c:v>699.50906250000003</c:v>
                </c:pt>
                <c:pt idx="9">
                  <c:v>1434.310546875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4-42A1-97DB-1A45A7041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16565</xdr:colOff>
      <xdr:row>8</xdr:row>
      <xdr:rowOff>144117</xdr:rowOff>
    </xdr:from>
    <xdr:to>
      <xdr:col>12</xdr:col>
      <xdr:colOff>463826</xdr:colOff>
      <xdr:row>23</xdr:row>
      <xdr:rowOff>54665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F9C164D-9F55-B45F-A32B-7400DB18A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3" zoomScale="115" zoomScaleNormal="115" workbookViewId="0">
      <selection activeCell="G4" sqref="G4:I7"/>
    </sheetView>
  </sheetViews>
  <sheetFormatPr baseColWidth="10" defaultColWidth="9" defaultRowHeight="14.25"/>
  <cols>
    <col min="1" max="1" width="38" customWidth="1"/>
    <col min="2" max="2" width="24" customWidth="1"/>
    <col min="3" max="3" width="22" customWidth="1"/>
    <col min="4" max="4" width="34" customWidth="1"/>
    <col min="5" max="5" width="20" customWidth="1"/>
    <col min="6" max="6" width="16" customWidth="1"/>
  </cols>
  <sheetData>
    <row r="1" spans="1:11" ht="18">
      <c r="A1" s="23" t="s">
        <v>0</v>
      </c>
      <c r="B1" s="23"/>
      <c r="C1" s="23"/>
      <c r="D1" s="23"/>
      <c r="E1" s="23"/>
      <c r="F1" s="23"/>
      <c r="G1" s="1"/>
      <c r="H1" s="1"/>
      <c r="I1" s="1"/>
      <c r="J1" s="1"/>
      <c r="K1" s="1"/>
    </row>
    <row r="2" spans="1:11">
      <c r="A2" s="24" t="s">
        <v>1</v>
      </c>
      <c r="B2" s="24"/>
      <c r="C2" s="24"/>
      <c r="D2" s="24"/>
      <c r="E2" s="24"/>
      <c r="F2" s="24"/>
      <c r="G2" s="1"/>
      <c r="H2" s="1"/>
      <c r="I2" s="1"/>
      <c r="J2" s="1"/>
      <c r="K2" s="1"/>
    </row>
    <row r="3" spans="1:11">
      <c r="A3" s="2"/>
      <c r="B3" s="2"/>
      <c r="C3" s="2"/>
      <c r="D3" s="2"/>
      <c r="E3" s="2"/>
      <c r="F3" s="2"/>
      <c r="G3" s="1"/>
      <c r="H3" s="1"/>
      <c r="I3" s="1"/>
      <c r="J3" s="1"/>
      <c r="K3" s="1"/>
    </row>
    <row r="4" spans="1:11" ht="15">
      <c r="A4" s="25" t="s">
        <v>2</v>
      </c>
      <c r="B4" s="25"/>
      <c r="C4" s="25"/>
      <c r="D4" s="25" t="s">
        <v>3</v>
      </c>
      <c r="E4" s="25"/>
      <c r="F4" s="25"/>
      <c r="G4" s="1">
        <v>2</v>
      </c>
      <c r="H4" s="1">
        <v>3</v>
      </c>
      <c r="I4" s="1">
        <v>4</v>
      </c>
      <c r="J4" s="1"/>
      <c r="K4" s="1"/>
    </row>
    <row r="5" spans="1:11" ht="15">
      <c r="A5" s="2" t="s">
        <v>4</v>
      </c>
      <c r="B5" s="4">
        <v>150</v>
      </c>
      <c r="C5" s="2" t="s">
        <v>5</v>
      </c>
      <c r="D5" s="2" t="s">
        <v>6</v>
      </c>
      <c r="E5" s="5">
        <v>4</v>
      </c>
      <c r="F5" s="2" t="s">
        <v>7</v>
      </c>
      <c r="G5" s="20">
        <f>+G7-G6</f>
        <v>117.693515625</v>
      </c>
      <c r="H5" s="20">
        <f>+H7-H6</f>
        <v>235.38703124999998</v>
      </c>
      <c r="I5" s="20">
        <f>+I7-I6</f>
        <v>353.08054687499998</v>
      </c>
      <c r="J5" s="1"/>
      <c r="K5" s="1"/>
    </row>
    <row r="6" spans="1:11" ht="15">
      <c r="A6" s="2" t="s">
        <v>8</v>
      </c>
      <c r="B6" s="4">
        <v>8.5</v>
      </c>
      <c r="C6" s="2" t="s">
        <v>9</v>
      </c>
      <c r="D6" s="2" t="s">
        <v>10</v>
      </c>
      <c r="E6" s="6">
        <v>15</v>
      </c>
      <c r="F6" s="2" t="s">
        <v>11</v>
      </c>
      <c r="G6" s="19">
        <f>+$E$16</f>
        <v>117.693515625</v>
      </c>
      <c r="H6" s="19">
        <f t="shared" ref="H6:I6" si="0">+$E$16</f>
        <v>117.693515625</v>
      </c>
      <c r="I6" s="19">
        <f t="shared" si="0"/>
        <v>117.693515625</v>
      </c>
      <c r="J6" s="1"/>
      <c r="K6" s="1"/>
    </row>
    <row r="7" spans="1:11" ht="15">
      <c r="A7" s="2" t="s">
        <v>12</v>
      </c>
      <c r="B7" s="4">
        <v>30</v>
      </c>
      <c r="C7" s="2" t="s">
        <v>13</v>
      </c>
      <c r="D7" s="2" t="s">
        <v>14</v>
      </c>
      <c r="E7" s="6">
        <v>21</v>
      </c>
      <c r="F7" s="2" t="s">
        <v>11</v>
      </c>
      <c r="G7" s="20">
        <f>+G6*G4</f>
        <v>235.38703125000001</v>
      </c>
      <c r="H7" s="20">
        <f>+H6*H4</f>
        <v>353.08054687499998</v>
      </c>
      <c r="I7" s="20">
        <f>+I6*I4</f>
        <v>470.77406250000001</v>
      </c>
      <c r="J7" s="1"/>
      <c r="K7" s="1"/>
    </row>
    <row r="8" spans="1:11" ht="15">
      <c r="A8" s="2" t="s">
        <v>15</v>
      </c>
      <c r="B8" s="4" t="s">
        <v>45</v>
      </c>
      <c r="C8" s="2" t="s">
        <v>17</v>
      </c>
      <c r="D8" s="2" t="s">
        <v>18</v>
      </c>
      <c r="E8" s="6">
        <v>0</v>
      </c>
      <c r="F8" s="2" t="s">
        <v>11</v>
      </c>
      <c r="G8" s="1"/>
      <c r="H8" s="1"/>
      <c r="I8" s="1"/>
      <c r="J8" s="1"/>
      <c r="K8" s="1"/>
    </row>
    <row r="9" spans="1:11" ht="15">
      <c r="A9" s="2" t="s">
        <v>19</v>
      </c>
      <c r="B9" s="4" t="s">
        <v>20</v>
      </c>
      <c r="C9" s="2" t="s">
        <v>17</v>
      </c>
      <c r="D9" s="2"/>
      <c r="E9" s="2"/>
      <c r="F9" s="2"/>
      <c r="G9" s="1"/>
      <c r="H9" s="1"/>
      <c r="I9" s="1"/>
      <c r="J9" s="1"/>
      <c r="K9" s="1"/>
    </row>
    <row r="10" spans="1:11">
      <c r="A10" s="2"/>
      <c r="B10" s="2"/>
      <c r="C10" s="2"/>
      <c r="D10" s="2"/>
      <c r="E10" s="2"/>
      <c r="F10" s="2"/>
      <c r="G10" s="1"/>
      <c r="H10" s="1"/>
      <c r="I10" s="1"/>
      <c r="J10" s="1"/>
      <c r="K10" s="1"/>
    </row>
    <row r="11" spans="1:11" ht="15">
      <c r="A11" s="25" t="s">
        <v>21</v>
      </c>
      <c r="B11" s="25"/>
      <c r="C11" s="25"/>
      <c r="D11" s="25" t="s">
        <v>22</v>
      </c>
      <c r="E11" s="25"/>
      <c r="F11" s="25"/>
      <c r="G11" s="1"/>
      <c r="H11" s="1"/>
      <c r="I11" s="1"/>
      <c r="J11" s="1"/>
      <c r="K11" s="1"/>
    </row>
    <row r="12" spans="1:11" ht="15">
      <c r="A12" s="2" t="s">
        <v>23</v>
      </c>
      <c r="B12" s="7">
        <v>1.2999999999999999E-2</v>
      </c>
      <c r="C12" s="2" t="s">
        <v>24</v>
      </c>
      <c r="D12" s="2" t="s">
        <v>25</v>
      </c>
      <c r="E12" s="8">
        <f>B5*B6</f>
        <v>1275</v>
      </c>
      <c r="F12" s="2"/>
      <c r="G12" s="1"/>
      <c r="H12" s="1"/>
      <c r="I12" s="1"/>
      <c r="J12" s="1"/>
      <c r="K12" s="1"/>
    </row>
    <row r="13" spans="1:11" ht="15">
      <c r="A13" s="2" t="s">
        <v>26</v>
      </c>
      <c r="B13" s="9">
        <v>8</v>
      </c>
      <c r="C13" s="10" t="s">
        <v>27</v>
      </c>
      <c r="D13" s="10" t="s">
        <v>28</v>
      </c>
      <c r="E13" s="11">
        <f>B7/B13</f>
        <v>3.75</v>
      </c>
      <c r="F13" s="2"/>
      <c r="G13" s="1"/>
      <c r="H13" s="1"/>
      <c r="I13" s="1"/>
      <c r="J13" s="1"/>
      <c r="K13" s="1"/>
    </row>
    <row r="14" spans="1:11" ht="15">
      <c r="A14" s="2" t="s">
        <v>29</v>
      </c>
      <c r="B14" s="11">
        <f>IF(B8="1 IA",1,IF(B8="2 IA",1.55,IF(B8="2 IA + confrontation ciblée",1.9,IF(B8="2 IA + arbitrage dialogique",2.35,1))))</f>
        <v>1.55</v>
      </c>
      <c r="C14" s="10"/>
      <c r="D14" s="10" t="s">
        <v>30</v>
      </c>
      <c r="E14" s="11">
        <f>E12*B12*E13*B14</f>
        <v>96.342187500000009</v>
      </c>
      <c r="F14" s="2" t="s">
        <v>31</v>
      </c>
      <c r="G14" s="1"/>
      <c r="H14" s="1"/>
      <c r="I14" s="1"/>
      <c r="J14" s="1"/>
      <c r="K14" s="1"/>
    </row>
    <row r="15" spans="1:11" ht="15">
      <c r="A15" s="2" t="s">
        <v>32</v>
      </c>
      <c r="B15" s="12">
        <f>IF(B9="Aucun",0,IF(B9="Synthèse courte",2,IF(B9="Rapport complet",6,0)))</f>
        <v>6</v>
      </c>
      <c r="C15" s="2"/>
      <c r="D15" s="2" t="s">
        <v>33</v>
      </c>
      <c r="E15" s="13">
        <f>E14+B15</f>
        <v>102.34218750000001</v>
      </c>
      <c r="F15" s="2" t="s">
        <v>31</v>
      </c>
      <c r="G15" s="1"/>
      <c r="H15" s="1"/>
      <c r="I15" s="1"/>
      <c r="J15" s="1"/>
      <c r="K15" s="1"/>
    </row>
    <row r="16" spans="1:11" ht="15">
      <c r="A16" s="2"/>
      <c r="B16" s="2"/>
      <c r="C16" s="2"/>
      <c r="D16" s="2" t="s">
        <v>34</v>
      </c>
      <c r="E16" s="13">
        <f>E15*(1+E6/100)</f>
        <v>117.693515625</v>
      </c>
      <c r="F16" s="2" t="s">
        <v>31</v>
      </c>
      <c r="G16" s="1"/>
      <c r="H16" s="1"/>
      <c r="I16" s="1"/>
      <c r="J16" s="1"/>
      <c r="K16" s="1"/>
    </row>
    <row r="17" spans="1:11" ht="15">
      <c r="A17" s="2"/>
      <c r="B17" s="2"/>
      <c r="C17" s="2"/>
      <c r="D17" s="2" t="s">
        <v>35</v>
      </c>
      <c r="E17" s="13">
        <f>E16*E5*(1-E8/100)</f>
        <v>470.77406250000001</v>
      </c>
      <c r="F17" s="2" t="s">
        <v>31</v>
      </c>
      <c r="G17" s="1"/>
      <c r="H17" s="1"/>
      <c r="I17" s="1"/>
      <c r="J17" s="1"/>
      <c r="K17" s="1"/>
    </row>
    <row r="18" spans="1:11" ht="15">
      <c r="A18" s="2"/>
      <c r="B18" s="2"/>
      <c r="C18" s="2"/>
      <c r="D18" s="2" t="s">
        <v>14</v>
      </c>
      <c r="E18" s="13">
        <f>E17*E7/100</f>
        <v>98.862553124999991</v>
      </c>
      <c r="F18" s="2" t="s">
        <v>31</v>
      </c>
      <c r="G18" s="1"/>
      <c r="H18" s="1"/>
      <c r="I18" s="1"/>
      <c r="J18" s="1"/>
      <c r="K18" s="1"/>
    </row>
    <row r="19" spans="1:11" ht="15">
      <c r="A19" s="2"/>
      <c r="B19" s="2"/>
      <c r="C19" s="2"/>
      <c r="D19" s="2" t="s">
        <v>36</v>
      </c>
      <c r="E19" s="13">
        <f>E17+E18</f>
        <v>569.63661562499999</v>
      </c>
      <c r="F19" s="2" t="s">
        <v>31</v>
      </c>
      <c r="G19" s="1"/>
      <c r="H19" s="1"/>
      <c r="I19" s="1"/>
      <c r="J19" s="1"/>
      <c r="K19" s="1"/>
    </row>
    <row r="20" spans="1:11" ht="15">
      <c r="A20" s="2"/>
      <c r="B20" s="2"/>
      <c r="C20" s="2"/>
      <c r="D20" s="2" t="s">
        <v>97</v>
      </c>
      <c r="E20" s="13">
        <f>+E19-E16*E7/100-E16</f>
        <v>427.22746171874996</v>
      </c>
      <c r="F20" s="2"/>
      <c r="G20" s="1"/>
      <c r="H20" s="1"/>
      <c r="I20" s="1"/>
      <c r="J20" s="1"/>
      <c r="K20" s="1"/>
    </row>
    <row r="21" spans="1:11" ht="15">
      <c r="A21" s="21" t="s">
        <v>37</v>
      </c>
      <c r="B21" s="21"/>
      <c r="C21" s="21"/>
      <c r="D21" s="21"/>
      <c r="E21" s="21"/>
      <c r="F21" s="21"/>
      <c r="G21" s="1"/>
      <c r="H21" s="1"/>
      <c r="I21" s="1"/>
      <c r="J21" s="1"/>
      <c r="K21" s="1"/>
    </row>
    <row r="22" spans="1:11">
      <c r="A22" s="22" t="s">
        <v>38</v>
      </c>
      <c r="B22" s="22"/>
      <c r="C22" s="22"/>
      <c r="D22" s="22"/>
      <c r="E22" s="22"/>
      <c r="F22" s="22"/>
      <c r="G22" s="1"/>
      <c r="H22" s="1"/>
      <c r="I22" s="1"/>
      <c r="J22" s="1"/>
      <c r="K22" s="1"/>
    </row>
    <row r="23" spans="1:11">
      <c r="A23" s="22" t="s">
        <v>39</v>
      </c>
      <c r="B23" s="22"/>
      <c r="C23" s="22"/>
      <c r="D23" s="22"/>
      <c r="E23" s="22"/>
      <c r="F23" s="22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J29" s="1"/>
      <c r="K29" s="1"/>
    </row>
    <row r="30" spans="1:11">
      <c r="A30" s="1"/>
      <c r="B30" s="1"/>
      <c r="C30" s="1"/>
      <c r="D30" s="1"/>
      <c r="E30" s="1"/>
      <c r="F30" s="1"/>
      <c r="J30" s="1"/>
      <c r="K30" s="1"/>
    </row>
  </sheetData>
  <mergeCells count="9">
    <mergeCell ref="A21:F21"/>
    <mergeCell ref="A22:F22"/>
    <mergeCell ref="A23:F23"/>
    <mergeCell ref="A1:F1"/>
    <mergeCell ref="A2:F2"/>
    <mergeCell ref="A4:C4"/>
    <mergeCell ref="D4:F4"/>
    <mergeCell ref="A11:C11"/>
    <mergeCell ref="D11:F11"/>
  </mergeCells>
  <conditionalFormatting sqref="E17:E20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{BBAC78A4-C63A-25AF-1189-73E65732040E}</x14:id>
        </ext>
      </extLst>
    </cfRule>
  </conditionalFormatting>
  <dataValidations count="5">
    <dataValidation sqref="B7" xr:uid="{00000000-0002-0000-0000-000000000000}">
      <formula1>6</formula1>
      <formula2>40</formula2>
    </dataValidation>
    <dataValidation type="list" sqref="B8" xr:uid="{00000000-0002-0000-0000-000001000000}">
      <formula1>"1 IA,2 IA,2 IA + confrontation ciblée,2 IA + arbitrage dialogique"</formula1>
    </dataValidation>
    <dataValidation type="list" sqref="B9" xr:uid="{00000000-0002-0000-0000-000002000000}">
      <formula1>"Aucun,Synthèse courte,Rapport complet"</formula1>
    </dataValidation>
    <dataValidation type="decimal" sqref="E5" xr:uid="{00000000-0002-0000-0000-000003000000}">
      <formula1>1</formula1>
      <formula2>10</formula2>
    </dataValidation>
    <dataValidation type="decimal" operator="greaterThan" sqref="B5:B6" xr:uid="{00000000-0002-0000-0000-000004000000}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AC78A4-C63A-25AF-1189-73E65732040E}">
            <x14:dataBar>
              <x14:cfvo type="min"/>
              <x14:cfvo type="max"/>
              <x14:negativeFillColor auto="1"/>
              <x14:axisColor auto="1"/>
            </x14:dataBar>
          </x14:cfRule>
          <xm:sqref>E17:E20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/>
  </sheetViews>
  <sheetFormatPr baseColWidth="10" defaultColWidth="9" defaultRowHeight="14.25"/>
  <cols>
    <col min="1" max="1" width="34" customWidth="1"/>
    <col min="2" max="2" width="20" customWidth="1"/>
    <col min="3" max="3" width="70" customWidth="1"/>
    <col min="4" max="4" width="38" customWidth="1"/>
  </cols>
  <sheetData>
    <row r="1" spans="1:11" ht="15">
      <c r="A1" s="3" t="s">
        <v>15</v>
      </c>
      <c r="B1" s="3" t="s">
        <v>40</v>
      </c>
      <c r="C1" s="3" t="s">
        <v>41</v>
      </c>
      <c r="D1" s="3" t="s">
        <v>42</v>
      </c>
      <c r="E1" s="1"/>
      <c r="F1" s="1"/>
      <c r="G1" s="1"/>
      <c r="H1" s="1"/>
      <c r="I1" s="1"/>
      <c r="J1" s="1"/>
      <c r="K1" s="1"/>
    </row>
    <row r="2" spans="1:11">
      <c r="A2" s="2" t="s">
        <v>16</v>
      </c>
      <c r="B2" s="14">
        <v>1</v>
      </c>
      <c r="C2" s="2" t="s">
        <v>43</v>
      </c>
      <c r="D2" s="2" t="s">
        <v>44</v>
      </c>
      <c r="E2" s="1"/>
      <c r="F2" s="1"/>
      <c r="G2" s="1"/>
      <c r="H2" s="1"/>
      <c r="I2" s="1"/>
      <c r="J2" s="1"/>
      <c r="K2" s="1"/>
    </row>
    <row r="3" spans="1:11">
      <c r="A3" s="2" t="s">
        <v>45</v>
      </c>
      <c r="B3" s="14">
        <v>1.55</v>
      </c>
      <c r="C3" s="2" t="s">
        <v>46</v>
      </c>
      <c r="D3" s="2" t="s">
        <v>47</v>
      </c>
      <c r="E3" s="1"/>
      <c r="F3" s="1"/>
      <c r="G3" s="1"/>
      <c r="H3" s="1"/>
      <c r="I3" s="1"/>
      <c r="J3" s="1"/>
      <c r="K3" s="1"/>
    </row>
    <row r="4" spans="1:11">
      <c r="A4" s="2" t="s">
        <v>48</v>
      </c>
      <c r="B4" s="14">
        <v>1.9</v>
      </c>
      <c r="C4" s="2" t="s">
        <v>49</v>
      </c>
      <c r="D4" s="2" t="s">
        <v>50</v>
      </c>
      <c r="E4" s="1"/>
      <c r="F4" s="1"/>
      <c r="G4" s="1"/>
      <c r="H4" s="1"/>
      <c r="I4" s="1"/>
      <c r="J4" s="1"/>
      <c r="K4" s="1"/>
    </row>
    <row r="5" spans="1:11">
      <c r="A5" s="2" t="s">
        <v>51</v>
      </c>
      <c r="B5" s="14">
        <v>2.35</v>
      </c>
      <c r="C5" s="2" t="s">
        <v>52</v>
      </c>
      <c r="D5" s="2" t="s">
        <v>53</v>
      </c>
      <c r="E5" s="1"/>
      <c r="F5" s="1"/>
      <c r="G5" s="1"/>
      <c r="H5" s="1"/>
      <c r="I5" s="1"/>
      <c r="J5" s="1"/>
      <c r="K5" s="1"/>
    </row>
    <row r="6" spans="1:11">
      <c r="A6" s="2"/>
      <c r="B6" s="2"/>
      <c r="C6" s="2"/>
      <c r="D6" s="2"/>
      <c r="E6" s="1"/>
      <c r="F6" s="1"/>
      <c r="G6" s="1"/>
      <c r="H6" s="1"/>
      <c r="I6" s="1"/>
      <c r="J6" s="1"/>
      <c r="K6" s="1"/>
    </row>
    <row r="7" spans="1:11" ht="15">
      <c r="A7" s="3" t="s">
        <v>19</v>
      </c>
      <c r="B7" s="3" t="s">
        <v>54</v>
      </c>
      <c r="C7" s="3" t="s">
        <v>41</v>
      </c>
      <c r="D7" s="3" t="s">
        <v>55</v>
      </c>
      <c r="E7" s="1"/>
      <c r="F7" s="1"/>
      <c r="G7" s="1"/>
      <c r="H7" s="1"/>
      <c r="I7" s="1"/>
      <c r="J7" s="1"/>
      <c r="K7" s="1"/>
    </row>
    <row r="8" spans="1:11">
      <c r="A8" s="2" t="s">
        <v>56</v>
      </c>
      <c r="B8" s="15">
        <v>0</v>
      </c>
      <c r="C8" s="2" t="s">
        <v>57</v>
      </c>
      <c r="D8" s="2" t="s">
        <v>58</v>
      </c>
      <c r="E8" s="1"/>
      <c r="F8" s="1"/>
      <c r="G8" s="1"/>
      <c r="H8" s="1"/>
      <c r="I8" s="1"/>
      <c r="J8" s="1"/>
      <c r="K8" s="1"/>
    </row>
    <row r="9" spans="1:11">
      <c r="A9" s="2" t="s">
        <v>59</v>
      </c>
      <c r="B9" s="15">
        <v>2</v>
      </c>
      <c r="C9" s="2" t="s">
        <v>60</v>
      </c>
      <c r="D9" s="2" t="s">
        <v>61</v>
      </c>
      <c r="E9" s="1"/>
      <c r="F9" s="1"/>
      <c r="G9" s="1"/>
      <c r="H9" s="1"/>
      <c r="I9" s="1"/>
      <c r="J9" s="1"/>
      <c r="K9" s="1"/>
    </row>
    <row r="10" spans="1:11">
      <c r="A10" s="2" t="s">
        <v>20</v>
      </c>
      <c r="B10" s="15">
        <v>6</v>
      </c>
      <c r="C10" s="2" t="s">
        <v>62</v>
      </c>
      <c r="D10" s="2" t="s">
        <v>63</v>
      </c>
      <c r="E10" s="1"/>
      <c r="F10" s="1"/>
      <c r="G10" s="1"/>
      <c r="H10" s="1"/>
      <c r="I10" s="1"/>
      <c r="J10" s="1"/>
      <c r="K10" s="1"/>
    </row>
    <row r="11" spans="1:11">
      <c r="A11" s="2"/>
      <c r="B11" s="2"/>
      <c r="C11" s="2"/>
      <c r="D11" s="2"/>
      <c r="E11" s="1"/>
      <c r="F11" s="1"/>
      <c r="G11" s="1"/>
      <c r="H11" s="1"/>
      <c r="I11" s="1"/>
      <c r="J11" s="1"/>
      <c r="K11" s="1"/>
    </row>
    <row r="12" spans="1:11" ht="15">
      <c r="A12" s="3" t="s">
        <v>64</v>
      </c>
      <c r="B12" s="3" t="s">
        <v>65</v>
      </c>
      <c r="C12" s="3" t="s">
        <v>66</v>
      </c>
      <c r="D12" s="3"/>
      <c r="E12" s="1"/>
      <c r="F12" s="1"/>
      <c r="G12" s="1"/>
      <c r="H12" s="1"/>
      <c r="I12" s="1"/>
      <c r="J12" s="1"/>
      <c r="K12" s="1"/>
    </row>
    <row r="13" spans="1:11">
      <c r="A13" s="2" t="s">
        <v>67</v>
      </c>
      <c r="B13" s="16">
        <v>1.2999999999999999E-2</v>
      </c>
      <c r="C13" s="2" t="s">
        <v>68</v>
      </c>
      <c r="D13" s="2"/>
      <c r="E13" s="1"/>
      <c r="F13" s="1"/>
      <c r="G13" s="1"/>
      <c r="H13" s="1"/>
      <c r="I13" s="1"/>
      <c r="J13" s="1"/>
      <c r="K13" s="1"/>
    </row>
    <row r="14" spans="1:11">
      <c r="A14" s="2" t="s">
        <v>69</v>
      </c>
      <c r="B14" s="2">
        <v>8.5</v>
      </c>
      <c r="C14" s="2" t="s">
        <v>70</v>
      </c>
      <c r="D14" s="2"/>
      <c r="E14" s="1"/>
      <c r="F14" s="1"/>
      <c r="G14" s="1"/>
      <c r="H14" s="1"/>
      <c r="I14" s="1"/>
      <c r="J14" s="1"/>
      <c r="K14" s="1"/>
    </row>
    <row r="15" spans="1:11">
      <c r="A15" s="2" t="s">
        <v>26</v>
      </c>
      <c r="B15" s="2">
        <v>8</v>
      </c>
      <c r="C15" s="2" t="s">
        <v>71</v>
      </c>
      <c r="D15" s="2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tabSelected="1" zoomScale="85" zoomScaleNormal="85" workbookViewId="0">
      <selection activeCell="J26" sqref="J26"/>
    </sheetView>
  </sheetViews>
  <sheetFormatPr baseColWidth="10" defaultColWidth="9" defaultRowHeight="14.25"/>
  <cols>
    <col min="1" max="1" width="10" customWidth="1"/>
    <col min="2" max="2" width="12" customWidth="1"/>
    <col min="3" max="3" width="34" customWidth="1"/>
    <col min="4" max="4" width="20" customWidth="1"/>
    <col min="5" max="5" width="16" customWidth="1"/>
    <col min="6" max="9" width="18" customWidth="1"/>
    <col min="10" max="10" width="16" customWidth="1"/>
    <col min="11" max="11" width="18" customWidth="1"/>
  </cols>
  <sheetData>
    <row r="1" spans="1:11" ht="15">
      <c r="A1" s="3" t="s">
        <v>72</v>
      </c>
      <c r="B1" s="3" t="s">
        <v>73</v>
      </c>
      <c r="C1" s="3" t="s">
        <v>15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14</v>
      </c>
      <c r="K1" s="3" t="s">
        <v>80</v>
      </c>
    </row>
    <row r="2" spans="1:11">
      <c r="A2" s="17">
        <v>50</v>
      </c>
      <c r="B2" s="17">
        <v>8</v>
      </c>
      <c r="C2" s="17" t="s">
        <v>16</v>
      </c>
      <c r="D2" s="17" t="s">
        <v>59</v>
      </c>
      <c r="E2" s="18">
        <v>3</v>
      </c>
      <c r="F2" s="19">
        <f>A2*Calculateur!$B$6*Calculateur!$B$12*(B2/Calculateur!$B$13)*IF(C2="1 IA",1,IF(C2="2 IA",1.55,IF(C2="2 IA + confrontation ciblée",1.9,2.35)))</f>
        <v>5.5249999999999995</v>
      </c>
      <c r="G2" s="19">
        <f t="shared" ref="G2:G11" si="0">F2+IF(D2="Aucun",0,IF(D2="Synthèse courte",2,6))</f>
        <v>7.5249999999999995</v>
      </c>
      <c r="H2" s="19">
        <f>G2*(1+Calculateur!$E$6/100)</f>
        <v>8.6537499999999987</v>
      </c>
      <c r="I2" s="19">
        <f>H2*E2*(1-Calculateur!$E$8/100)</f>
        <v>25.961249999999996</v>
      </c>
      <c r="J2" s="19">
        <f>I2*Calculateur!$E$7/100</f>
        <v>5.4518624999999998</v>
      </c>
      <c r="K2" s="19">
        <f t="shared" ref="K2:K11" si="1">I2+J2</f>
        <v>31.413112499999997</v>
      </c>
    </row>
    <row r="3" spans="1:11">
      <c r="A3" s="17">
        <v>100</v>
      </c>
      <c r="B3" s="17">
        <v>8</v>
      </c>
      <c r="C3" s="17" t="s">
        <v>16</v>
      </c>
      <c r="D3" s="17" t="s">
        <v>59</v>
      </c>
      <c r="E3" s="18">
        <v>3</v>
      </c>
      <c r="F3" s="19">
        <f>A3*Calculateur!$B$6*Calculateur!$B$12*(B3/Calculateur!$B$13)*IF(C3="1 IA",1,IF(C3="2 IA",1.55,IF(C3="2 IA + confrontation ciblée",1.9,2.35)))</f>
        <v>11.049999999999999</v>
      </c>
      <c r="G3" s="19">
        <f t="shared" si="0"/>
        <v>13.049999999999999</v>
      </c>
      <c r="H3" s="19">
        <f>G3*(1+Calculateur!$E$6/100)</f>
        <v>15.007499999999997</v>
      </c>
      <c r="I3" s="19">
        <f>H3*E3*(1-Calculateur!$E$8/100)</f>
        <v>45.022499999999994</v>
      </c>
      <c r="J3" s="19">
        <f>I3*Calculateur!$E$7/100</f>
        <v>9.454724999999998</v>
      </c>
      <c r="K3" s="19">
        <f t="shared" si="1"/>
        <v>54.47722499999999</v>
      </c>
    </row>
    <row r="4" spans="1:11">
      <c r="A4" s="17">
        <v>150</v>
      </c>
      <c r="B4" s="17">
        <v>8</v>
      </c>
      <c r="C4" s="17" t="s">
        <v>16</v>
      </c>
      <c r="D4" s="17" t="s">
        <v>59</v>
      </c>
      <c r="E4" s="18">
        <v>3</v>
      </c>
      <c r="F4" s="19">
        <f>A4*Calculateur!$B$6*Calculateur!$B$12*(B4/Calculateur!$B$13)*IF(C4="1 IA",1,IF(C4="2 IA",1.55,IF(C4="2 IA + confrontation ciblée",1.9,2.35)))</f>
        <v>16.574999999999999</v>
      </c>
      <c r="G4" s="19">
        <f t="shared" si="0"/>
        <v>18.574999999999999</v>
      </c>
      <c r="H4" s="19">
        <f>G4*(1+Calculateur!$E$6/100)</f>
        <v>21.361249999999998</v>
      </c>
      <c r="I4" s="19">
        <f>H4*E4*(1-Calculateur!$E$8/100)</f>
        <v>64.083749999999995</v>
      </c>
      <c r="J4" s="19">
        <f>I4*Calculateur!$E$7/100</f>
        <v>13.457587499999999</v>
      </c>
      <c r="K4" s="19">
        <f t="shared" si="1"/>
        <v>77.541337499999997</v>
      </c>
    </row>
    <row r="5" spans="1:11">
      <c r="A5" s="17">
        <v>250</v>
      </c>
      <c r="B5" s="17">
        <v>8</v>
      </c>
      <c r="C5" s="17" t="s">
        <v>16</v>
      </c>
      <c r="D5" s="17" t="s">
        <v>59</v>
      </c>
      <c r="E5" s="18">
        <v>3</v>
      </c>
      <c r="F5" s="19">
        <f>A5*Calculateur!$B$6*Calculateur!$B$12*(B5/Calculateur!$B$13)*IF(C5="1 IA",1,IF(C5="2 IA",1.55,IF(C5="2 IA + confrontation ciblée",1.9,2.35)))</f>
        <v>27.625</v>
      </c>
      <c r="G5" s="19">
        <f>F5+IF(D5="Aucun",0,IF(D5="Synthèse courte",2,6))</f>
        <v>29.625</v>
      </c>
      <c r="H5" s="19">
        <f>G5*(1+Calculateur!$E$6/100)</f>
        <v>34.068749999999994</v>
      </c>
      <c r="I5" s="19">
        <f>H5*E5*(1-Calculateur!$E$8/100)</f>
        <v>102.20624999999998</v>
      </c>
      <c r="J5" s="19">
        <f>I5*Calculateur!$E$7/100</f>
        <v>21.463312499999997</v>
      </c>
      <c r="K5" s="19">
        <f>I5+J5</f>
        <v>123.66956249999998</v>
      </c>
    </row>
    <row r="6" spans="1:11">
      <c r="A6" s="17">
        <v>150</v>
      </c>
      <c r="B6" s="17">
        <v>15</v>
      </c>
      <c r="C6" s="17" t="s">
        <v>16</v>
      </c>
      <c r="D6" s="17" t="s">
        <v>20</v>
      </c>
      <c r="E6" s="18">
        <v>4</v>
      </c>
      <c r="F6" s="19">
        <f>A6*Calculateur!$B$6*Calculateur!$B$12*(B6/Calculateur!$B$13)*IF(C6="1 IA",1,IF(C6="2 IA",1.55,IF(C6="2 IA + confrontation ciblée",1.9,2.35)))</f>
        <v>31.078125</v>
      </c>
      <c r="G6" s="19">
        <f t="shared" si="0"/>
        <v>37.078125</v>
      </c>
      <c r="H6" s="19">
        <f>G6*(1+Calculateur!$E$6/100)</f>
        <v>42.639843749999997</v>
      </c>
      <c r="I6" s="19">
        <f>H6*E6*(1-Calculateur!$E$8/100)</f>
        <v>170.55937499999999</v>
      </c>
      <c r="J6" s="19">
        <f>I6*Calculateur!$E$7/100</f>
        <v>35.817468749999996</v>
      </c>
      <c r="K6" s="19">
        <f t="shared" si="1"/>
        <v>206.37684374999998</v>
      </c>
    </row>
    <row r="7" spans="1:11">
      <c r="A7" s="17">
        <v>150</v>
      </c>
      <c r="B7" s="17">
        <v>30</v>
      </c>
      <c r="C7" s="17" t="s">
        <v>16</v>
      </c>
      <c r="D7" s="17" t="s">
        <v>20</v>
      </c>
      <c r="E7" s="18">
        <v>4</v>
      </c>
      <c r="F7" s="19">
        <f>A7*Calculateur!$B$6*Calculateur!$B$12*(B7/Calculateur!$B$13)*IF(C7="1 IA",1,IF(C7="2 IA",1.55,IF(C7="2 IA + confrontation ciblée",1.9,2.35)))</f>
        <v>62.15625</v>
      </c>
      <c r="G7" s="19">
        <f t="shared" si="0"/>
        <v>68.15625</v>
      </c>
      <c r="H7" s="19">
        <f>G7*(1+Calculateur!$E$6/100)</f>
        <v>78.379687499999989</v>
      </c>
      <c r="I7" s="19">
        <f>H7*E7*(1-Calculateur!$E$8/100)</f>
        <v>313.51874999999995</v>
      </c>
      <c r="J7" s="19">
        <f>I7*Calculateur!$E$7/100</f>
        <v>65.838937499999986</v>
      </c>
      <c r="K7" s="19">
        <f t="shared" si="1"/>
        <v>379.35768749999994</v>
      </c>
    </row>
    <row r="8" spans="1:11">
      <c r="A8" s="17">
        <v>150</v>
      </c>
      <c r="B8" s="17">
        <v>30</v>
      </c>
      <c r="C8" s="17" t="s">
        <v>45</v>
      </c>
      <c r="D8" s="17" t="s">
        <v>20</v>
      </c>
      <c r="E8" s="18">
        <v>4</v>
      </c>
      <c r="F8" s="19">
        <f>A8*Calculateur!$B$6*Calculateur!$B$12*(B8/Calculateur!$B$13)*IF(C8="1 IA",1,IF(C8="2 IA",1.55,IF(C8="2 IA + confrontation ciblée",1.9,2.35)))</f>
        <v>96.342187500000009</v>
      </c>
      <c r="G8" s="19">
        <f t="shared" si="0"/>
        <v>102.34218750000001</v>
      </c>
      <c r="H8" s="19">
        <f>G8*(1+Calculateur!$E$6/100)</f>
        <v>117.693515625</v>
      </c>
      <c r="I8" s="19">
        <f>H8*E8*(1-Calculateur!$E$8/100)</f>
        <v>470.77406250000001</v>
      </c>
      <c r="J8" s="19">
        <f>I8*Calculateur!$E$7/100</f>
        <v>98.862553124999991</v>
      </c>
      <c r="K8" s="19">
        <f t="shared" si="1"/>
        <v>569.63661562499999</v>
      </c>
    </row>
    <row r="9" spans="1:11">
      <c r="A9" s="17">
        <v>150</v>
      </c>
      <c r="B9" s="17">
        <v>30</v>
      </c>
      <c r="C9" s="17" t="s">
        <v>48</v>
      </c>
      <c r="D9" s="17" t="s">
        <v>20</v>
      </c>
      <c r="E9" s="18">
        <v>4</v>
      </c>
      <c r="F9" s="19">
        <f>A9*Calculateur!$B$6*Calculateur!$B$12*(B9/Calculateur!$B$13)*IF(C9="1 IA",1,IF(C9="2 IA",1.55,IF(C9="2 IA + confrontation ciblée",1.9,2.35)))</f>
        <v>118.096875</v>
      </c>
      <c r="G9" s="19">
        <f t="shared" si="0"/>
        <v>124.096875</v>
      </c>
      <c r="H9" s="19">
        <f>G9*(1+Calculateur!$E$6/100)</f>
        <v>142.71140624999998</v>
      </c>
      <c r="I9" s="19">
        <f>H9*E9*(1-Calculateur!$E$8/100)</f>
        <v>570.84562499999993</v>
      </c>
      <c r="J9" s="19">
        <f>I9*Calculateur!$E$7/100</f>
        <v>119.87758124999999</v>
      </c>
      <c r="K9" s="19">
        <f t="shared" si="1"/>
        <v>690.72320624999998</v>
      </c>
    </row>
    <row r="10" spans="1:11">
      <c r="A10" s="17">
        <v>150</v>
      </c>
      <c r="B10" s="17">
        <v>30</v>
      </c>
      <c r="C10" s="17" t="s">
        <v>51</v>
      </c>
      <c r="D10" s="17" t="s">
        <v>20</v>
      </c>
      <c r="E10" s="18">
        <v>4</v>
      </c>
      <c r="F10" s="19">
        <f>A10*Calculateur!$B$6*Calculateur!$B$12*(B10/Calculateur!$B$13)*IF(C10="1 IA",1,IF(C10="2 IA",1.55,IF(C10="2 IA + confrontation ciblée",1.9,2.35)))</f>
        <v>146.06718750000002</v>
      </c>
      <c r="G10" s="19">
        <f t="shared" si="0"/>
        <v>152.06718750000002</v>
      </c>
      <c r="H10" s="19">
        <f>G10*(1+Calculateur!$E$6/100)</f>
        <v>174.87726562500001</v>
      </c>
      <c r="I10" s="19">
        <f>H10*E10*(1-Calculateur!$E$8/100)</f>
        <v>699.50906250000003</v>
      </c>
      <c r="J10" s="19">
        <f>I10*Calculateur!$E$7/100</f>
        <v>146.89690312499999</v>
      </c>
      <c r="K10" s="19">
        <f t="shared" si="1"/>
        <v>846.40596562500002</v>
      </c>
    </row>
    <row r="11" spans="1:11">
      <c r="A11" s="17">
        <v>250</v>
      </c>
      <c r="B11" s="17">
        <v>30</v>
      </c>
      <c r="C11" s="17" t="s">
        <v>51</v>
      </c>
      <c r="D11" s="17" t="s">
        <v>20</v>
      </c>
      <c r="E11" s="18">
        <v>5</v>
      </c>
      <c r="F11" s="19">
        <f>A11*Calculateur!$B$6*Calculateur!$B$12*(B11/Calculateur!$B$13)*IF(C11="1 IA",1,IF(C11="2 IA",1.55,IF(C11="2 IA + confrontation ciblée",1.9,2.35)))</f>
        <v>243.4453125</v>
      </c>
      <c r="G11" s="19">
        <f t="shared" si="0"/>
        <v>249.4453125</v>
      </c>
      <c r="H11" s="19">
        <f>G11*(1+Calculateur!$E$6/100)</f>
        <v>286.86210937499999</v>
      </c>
      <c r="I11" s="19">
        <f>H11*E11*(1-Calculateur!$E$8/100)</f>
        <v>1434.310546875</v>
      </c>
      <c r="J11" s="19">
        <f>I11*Calculateur!$E$7/100</f>
        <v>301.20521484375001</v>
      </c>
      <c r="K11" s="19">
        <f t="shared" si="1"/>
        <v>1735.5157617187501</v>
      </c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conditionalFormatting sqref="I2:K11">
    <cfRule type="dataBar" priority="1">
      <dataBar>
        <cfvo type="min"/>
        <cfvo type="max"/>
        <color rgb="FF0F9ED5"/>
      </dataBar>
    </cfRule>
    <cfRule type="dataBar" priority="2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{121261F5-6B01-3A41-C3D9-B86D3C2A629C}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1261F5-6B01-3A41-C3D9-B86D3C2A629C}">
            <x14:dataBar>
              <x14:cfvo type="min"/>
              <x14:cfvo type="max"/>
              <x14:negativeFillColor auto="1"/>
              <x14:axisColor auto="1"/>
            </x14:dataBar>
          </x14:cfRule>
          <xm:sqref>I2:K11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/>
  </sheetViews>
  <sheetFormatPr baseColWidth="10" defaultColWidth="9" defaultRowHeight="14.25"/>
  <cols>
    <col min="1" max="1" width="20" customWidth="1"/>
    <col min="2" max="2" width="22" customWidth="1"/>
    <col min="3" max="3" width="86" customWidth="1"/>
    <col min="4" max="4" width="42" customWidth="1"/>
  </cols>
  <sheetData>
    <row r="1" spans="1:11" ht="15">
      <c r="A1" s="3" t="s">
        <v>81</v>
      </c>
      <c r="B1" s="3" t="s">
        <v>82</v>
      </c>
      <c r="C1" s="3" t="s">
        <v>83</v>
      </c>
      <c r="D1" s="3" t="s">
        <v>84</v>
      </c>
      <c r="E1" s="1"/>
      <c r="F1" s="1"/>
      <c r="G1" s="1"/>
      <c r="H1" s="1"/>
      <c r="I1" s="1"/>
      <c r="J1" s="1"/>
      <c r="K1" s="1"/>
    </row>
    <row r="2" spans="1:11" ht="28.5">
      <c r="A2" s="2" t="s">
        <v>85</v>
      </c>
      <c r="B2" s="2">
        <v>8</v>
      </c>
      <c r="C2" s="2" t="s">
        <v>86</v>
      </c>
      <c r="D2" s="2" t="s">
        <v>87</v>
      </c>
      <c r="E2" s="1"/>
      <c r="F2" s="1"/>
      <c r="G2" s="1"/>
      <c r="H2" s="1"/>
      <c r="I2" s="1"/>
      <c r="J2" s="1"/>
      <c r="K2" s="1"/>
    </row>
    <row r="3" spans="1:11" ht="28.5">
      <c r="A3" s="2" t="s">
        <v>88</v>
      </c>
      <c r="B3" s="2">
        <v>15</v>
      </c>
      <c r="C3" s="2" t="s">
        <v>89</v>
      </c>
      <c r="D3" s="2" t="s">
        <v>90</v>
      </c>
      <c r="E3" s="1"/>
      <c r="F3" s="1"/>
      <c r="G3" s="1"/>
      <c r="H3" s="1"/>
      <c r="I3" s="1"/>
      <c r="J3" s="1"/>
      <c r="K3" s="1"/>
    </row>
    <row r="4" spans="1:11" ht="28.5">
      <c r="A4" s="2" t="s">
        <v>91</v>
      </c>
      <c r="B4" s="2">
        <v>30</v>
      </c>
      <c r="C4" s="2" t="s">
        <v>92</v>
      </c>
      <c r="D4" s="2" t="s">
        <v>93</v>
      </c>
      <c r="E4" s="1"/>
      <c r="F4" s="1"/>
      <c r="G4" s="1"/>
      <c r="H4" s="1"/>
      <c r="I4" s="1"/>
      <c r="J4" s="1"/>
      <c r="K4" s="1"/>
    </row>
    <row r="5" spans="1:11">
      <c r="A5" s="2" t="s">
        <v>94</v>
      </c>
      <c r="B5" s="2">
        <v>-34</v>
      </c>
      <c r="C5" s="2" t="s">
        <v>95</v>
      </c>
      <c r="D5" s="2" t="s">
        <v>96</v>
      </c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Calculateur</vt:lpstr>
      <vt:lpstr>Modes &amp; hypothèses</vt:lpstr>
      <vt:lpstr>Scénarios</vt:lpstr>
      <vt:lpstr>Grille 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pioggia</dc:creator>
  <cp:lastModifiedBy>giuseppe pioggia</cp:lastModifiedBy>
  <dcterms:created xsi:type="dcterms:W3CDTF">2026-08-08T17:17:15Z</dcterms:created>
  <dcterms:modified xsi:type="dcterms:W3CDTF">2026-08-15T16:10:35Z</dcterms:modified>
</cp:coreProperties>
</file>